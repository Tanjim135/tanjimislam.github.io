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xr:revisionPtr revIDLastSave="0" documentId="8_{D782C271-E776-4A4D-8043-F8F3262F05A2}" xr6:coauthVersionLast="47" xr6:coauthVersionMax="47" xr10:uidLastSave="{00000000-0000-0000-0000-000000000000}"/>
  <bookViews>
    <workbookView xWindow="240" yWindow="105" windowWidth="14805" windowHeight="8010" firstSheet="5" activeTab="5" xr2:uid="{00000000-000D-0000-FFFF-FFFF00000000}"/>
  </bookViews>
  <sheets>
    <sheet name="Assumptions Dashboard" sheetId="1" r:id="rId1"/>
    <sheet name="Development Budget" sheetId="2" r:id="rId2"/>
    <sheet name="Pro Forma" sheetId="3" r:id="rId3"/>
    <sheet name="Debt Schedule " sheetId="4" r:id="rId4"/>
    <sheet name=" Returns" sheetId="5" r:id="rId5"/>
    <sheet name="Sensitivity Tables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" l="1"/>
  <c r="G12" i="1"/>
  <c r="G13" i="1"/>
  <c r="G14" i="1"/>
  <c r="F14" i="1"/>
  <c r="C6" i="5"/>
  <c r="C4" i="5"/>
  <c r="A19" i="4"/>
  <c r="C18" i="4"/>
  <c r="D18" i="4"/>
  <c r="E18" i="4"/>
  <c r="F18" i="4"/>
  <c r="B18" i="4"/>
  <c r="B11" i="3"/>
  <c r="C11" i="3"/>
  <c r="D11" i="3" s="1"/>
  <c r="E11" i="3" s="1"/>
  <c r="F11" i="3" s="1"/>
  <c r="B10" i="3"/>
  <c r="B3" i="3"/>
  <c r="F11" i="1"/>
  <c r="F12" i="1"/>
  <c r="F13" i="1"/>
  <c r="C18" i="1"/>
  <c r="C20" i="1"/>
  <c r="C28" i="1"/>
  <c r="C29" i="1"/>
  <c r="C14" i="1"/>
  <c r="B12" i="3" l="1"/>
  <c r="C10" i="3"/>
  <c r="B4" i="3"/>
  <c r="B5" i="3" s="1"/>
  <c r="B17" i="3" s="1"/>
  <c r="C3" i="3"/>
  <c r="C5" i="2"/>
  <c r="D5" i="2" s="1"/>
  <c r="C4" i="2"/>
  <c r="C3" i="2"/>
  <c r="C6" i="2" s="1"/>
  <c r="C34" i="2" s="1"/>
  <c r="C27" i="1"/>
  <c r="C30" i="1" s="1"/>
  <c r="C12" i="2"/>
  <c r="C37" i="2" s="1"/>
  <c r="C23" i="2"/>
  <c r="D3" i="2"/>
  <c r="D6" i="2" s="1"/>
  <c r="C13" i="2"/>
  <c r="C38" i="2" s="1"/>
  <c r="F4" i="2"/>
  <c r="F6" i="2" s="1"/>
  <c r="E4" i="2"/>
  <c r="E6" i="2" s="1"/>
  <c r="C14" i="2"/>
  <c r="C39" i="2" s="1"/>
  <c r="C44" i="1"/>
  <c r="B22" i="3" l="1"/>
  <c r="C38" i="5"/>
  <c r="F15" i="5"/>
  <c r="F17" i="5" s="1"/>
  <c r="E23" i="2"/>
  <c r="D14" i="5"/>
  <c r="D17" i="5" s="1"/>
  <c r="F23" i="2"/>
  <c r="E14" i="5"/>
  <c r="E17" i="5" s="1"/>
  <c r="D23" i="2"/>
  <c r="C14" i="5"/>
  <c r="C17" i="5" s="1"/>
  <c r="C36" i="2"/>
  <c r="C35" i="2"/>
  <c r="C12" i="3"/>
  <c r="D10" i="3"/>
  <c r="C4" i="3"/>
  <c r="C5" i="3" s="1"/>
  <c r="C17" i="3" s="1"/>
  <c r="D3" i="3"/>
  <c r="C24" i="2"/>
  <c r="C29" i="2"/>
  <c r="C30" i="2" s="1"/>
  <c r="C45" i="1"/>
  <c r="C18" i="2" s="1"/>
  <c r="C17" i="2"/>
  <c r="C19" i="2" s="1"/>
  <c r="C15" i="2"/>
  <c r="C20" i="2"/>
  <c r="C22" i="3" l="1"/>
  <c r="G15" i="5"/>
  <c r="G17" i="5" s="1"/>
  <c r="D29" i="2"/>
  <c r="D30" i="2" s="1"/>
  <c r="D24" i="2"/>
  <c r="F24" i="2"/>
  <c r="D4" i="4" s="1"/>
  <c r="F29" i="2"/>
  <c r="F30" i="2" s="1"/>
  <c r="E23" i="5" s="1"/>
  <c r="E26" i="5" s="1"/>
  <c r="E29" i="2"/>
  <c r="E30" i="2" s="1"/>
  <c r="D23" i="5" s="1"/>
  <c r="D26" i="5" s="1"/>
  <c r="E24" i="2"/>
  <c r="C4" i="4" s="1"/>
  <c r="D12" i="3"/>
  <c r="E10" i="3"/>
  <c r="D4" i="3"/>
  <c r="D5" i="3" s="1"/>
  <c r="D17" i="3" s="1"/>
  <c r="E3" i="3"/>
  <c r="D22" i="3" l="1"/>
  <c r="H15" i="5"/>
  <c r="H17" i="5" s="1"/>
  <c r="D25" i="2"/>
  <c r="E25" i="2" s="1"/>
  <c r="F25" i="2" s="1"/>
  <c r="B4" i="4"/>
  <c r="B5" i="4" s="1"/>
  <c r="B6" i="4" s="1"/>
  <c r="C3" i="4" s="1"/>
  <c r="C5" i="4" s="1"/>
  <c r="C6" i="4" s="1"/>
  <c r="D3" i="4" s="1"/>
  <c r="C23" i="5"/>
  <c r="C26" i="5" s="1"/>
  <c r="D31" i="2"/>
  <c r="E31" i="2" s="1"/>
  <c r="F31" i="2" s="1"/>
  <c r="E12" i="3"/>
  <c r="F10" i="3"/>
  <c r="F12" i="3" s="1"/>
  <c r="E4" i="3"/>
  <c r="E5" i="3" s="1"/>
  <c r="E17" i="3" s="1"/>
  <c r="F3" i="3"/>
  <c r="E22" i="3" l="1"/>
  <c r="I15" i="5"/>
  <c r="I17" i="5" s="1"/>
  <c r="D5" i="4"/>
  <c r="D6" i="4"/>
  <c r="F4" i="3"/>
  <c r="F5" i="3" s="1"/>
  <c r="F17" i="3" s="1"/>
  <c r="F22" i="3" l="1"/>
  <c r="J24" i="5"/>
  <c r="J15" i="5"/>
  <c r="C3" i="5"/>
  <c r="C5" i="5" s="1"/>
  <c r="C7" i="5" s="1"/>
  <c r="J16" i="5" s="1"/>
  <c r="J17" i="5" s="1"/>
  <c r="C35" i="5" s="1"/>
  <c r="F11" i="4"/>
  <c r="F12" i="4" s="1"/>
  <c r="F19" i="4" s="1"/>
  <c r="E11" i="4"/>
  <c r="D11" i="4"/>
  <c r="C11" i="4"/>
  <c r="B11" i="4"/>
  <c r="B2" i="6" l="1"/>
  <c r="E5" i="6"/>
  <c r="B14" i="4"/>
  <c r="B12" i="4"/>
  <c r="B19" i="4" s="1"/>
  <c r="B23" i="3" s="1"/>
  <c r="B24" i="3" s="1"/>
  <c r="F24" i="5" s="1"/>
  <c r="F26" i="5" s="1"/>
  <c r="C14" i="4"/>
  <c r="C12" i="4"/>
  <c r="C19" i="4" s="1"/>
  <c r="C23" i="3" s="1"/>
  <c r="C24" i="3" s="1"/>
  <c r="G24" i="5" s="1"/>
  <c r="G26" i="5" s="1"/>
  <c r="D14" i="4"/>
  <c r="D12" i="4"/>
  <c r="D19" i="4" s="1"/>
  <c r="D23" i="3" s="1"/>
  <c r="D24" i="3" s="1"/>
  <c r="H24" i="5" s="1"/>
  <c r="H26" i="5" s="1"/>
  <c r="E14" i="4"/>
  <c r="E12" i="4"/>
  <c r="E19" i="4" s="1"/>
  <c r="E23" i="3" s="1"/>
  <c r="E24" i="3" s="1"/>
  <c r="I24" i="5" s="1"/>
  <c r="I26" i="5" s="1"/>
  <c r="F13" i="4"/>
  <c r="C39" i="5" l="1"/>
  <c r="C8" i="5"/>
  <c r="C9" i="5" s="1"/>
  <c r="J25" i="5" s="1"/>
  <c r="J26" i="5" s="1"/>
  <c r="C37" i="5" s="1"/>
  <c r="F14" i="4"/>
  <c r="F20" i="4"/>
  <c r="F21" i="4" s="1"/>
  <c r="F23" i="3" s="1"/>
  <c r="F24" i="3" s="1"/>
  <c r="C36" i="5"/>
</calcChain>
</file>

<file path=xl/sharedStrings.xml><?xml version="1.0" encoding="utf-8"?>
<sst xmlns="http://schemas.openxmlformats.org/spreadsheetml/2006/main" count="133" uniqueCount="118">
  <si>
    <t>PROJECT ASSUMPTIONS</t>
  </si>
  <si>
    <t>Project Name:  Queens Multifamily Development</t>
  </si>
  <si>
    <t>Location:  Long Island City, Queens NY</t>
  </si>
  <si>
    <t>Analysis Start:  12/31/2025</t>
  </si>
  <si>
    <t>UNIT MIX</t>
  </si>
  <si>
    <t>Unit Type</t>
  </si>
  <si>
    <t>Unit</t>
  </si>
  <si>
    <t>SF/Unit</t>
  </si>
  <si>
    <t>Monthly Rent</t>
  </si>
  <si>
    <t>Annual Rent/ Unit</t>
  </si>
  <si>
    <t>Total Annual Revenue</t>
  </si>
  <si>
    <t>1 Bedroom</t>
  </si>
  <si>
    <t>2 Bedroom</t>
  </si>
  <si>
    <t>Total/Avg</t>
  </si>
  <si>
    <t>BUILDING SIZE</t>
  </si>
  <si>
    <t>Total NRSF</t>
  </si>
  <si>
    <t xml:space="preserve">Efficency </t>
  </si>
  <si>
    <t>Total GSF</t>
  </si>
  <si>
    <t>DEVELOPMENT COSTS</t>
  </si>
  <si>
    <t>Land Cost/GSF</t>
  </si>
  <si>
    <t>Hard Cost/GSF</t>
  </si>
  <si>
    <t>Soft Cost/GSF</t>
  </si>
  <si>
    <t>Total Land Cost</t>
  </si>
  <si>
    <t>Total Hard Cost</t>
  </si>
  <si>
    <t>Total Soft Cost</t>
  </si>
  <si>
    <t>Total Development Cost</t>
  </si>
  <si>
    <t xml:space="preserve">Operating Assumption </t>
  </si>
  <si>
    <t>Vacancy Rate</t>
  </si>
  <si>
    <t>OpEx/Unit/Year</t>
  </si>
  <si>
    <t>RE Taxes/Unit/Year</t>
  </si>
  <si>
    <t>Rent Escalation</t>
  </si>
  <si>
    <t>Expense Escalation</t>
  </si>
  <si>
    <t xml:space="preserve">Financing </t>
  </si>
  <si>
    <t>Loan to Cost</t>
  </si>
  <si>
    <t>Intrest Rate</t>
  </si>
  <si>
    <t>Loan Ammount</t>
  </si>
  <si>
    <t xml:space="preserve">Equity Required </t>
  </si>
  <si>
    <t xml:space="preserve">Exit Assumptions </t>
  </si>
  <si>
    <t xml:space="preserve">Hold Periods </t>
  </si>
  <si>
    <t>Exit Cap Rate</t>
  </si>
  <si>
    <t>Sales Costs</t>
  </si>
  <si>
    <t xml:space="preserve">Development &amp; Budget </t>
  </si>
  <si>
    <t xml:space="preserve">Total </t>
  </si>
  <si>
    <t>Land</t>
  </si>
  <si>
    <t>Hard Cost</t>
  </si>
  <si>
    <t>Soft Cost</t>
  </si>
  <si>
    <t>Total Cost</t>
  </si>
  <si>
    <t>Sources &amp; Uses</t>
  </si>
  <si>
    <t>USES</t>
  </si>
  <si>
    <t>Total Uses</t>
  </si>
  <si>
    <t xml:space="preserve">SOURCES </t>
  </si>
  <si>
    <t>Construction Loan</t>
  </si>
  <si>
    <t>Equity</t>
  </si>
  <si>
    <t>Total Sources</t>
  </si>
  <si>
    <t xml:space="preserve">Variance </t>
  </si>
  <si>
    <t xml:space="preserve">Construction Loan Draw Schedule </t>
  </si>
  <si>
    <t>Loan Draw (65%)</t>
  </si>
  <si>
    <t>Cumulative Loan Balance</t>
  </si>
  <si>
    <t xml:space="preserve">Equity Contribution Schedule </t>
  </si>
  <si>
    <t>Equity Draw (35%)</t>
  </si>
  <si>
    <t xml:space="preserve">Cumulative Equity Draw </t>
  </si>
  <si>
    <t xml:space="preserve">Key Metric Summary </t>
  </si>
  <si>
    <t xml:space="preserve">Total Development Cost </t>
  </si>
  <si>
    <t>Cost Per Unit</t>
  </si>
  <si>
    <t>Cost Per GSF</t>
  </si>
  <si>
    <t xml:space="preserve">Land as % of Total Cost    </t>
  </si>
  <si>
    <t>Hard Cost as % of Total Cost</t>
  </si>
  <si>
    <t>Soft Cost as % of Total Cost</t>
  </si>
  <si>
    <t>Operating Pro Forma</t>
  </si>
  <si>
    <t>Gross Potential Rent</t>
  </si>
  <si>
    <t>Vacancy Loss</t>
  </si>
  <si>
    <t>Effective Gross Income</t>
  </si>
  <si>
    <t>Operating Expenses</t>
  </si>
  <si>
    <t>OpEx</t>
  </si>
  <si>
    <t>RE Tax</t>
  </si>
  <si>
    <t xml:space="preserve">Total Expense </t>
  </si>
  <si>
    <t>Net Operating Income</t>
  </si>
  <si>
    <t>NOI</t>
  </si>
  <si>
    <t>Cash Flow</t>
  </si>
  <si>
    <t xml:space="preserve">Dept Service </t>
  </si>
  <si>
    <t xml:space="preserve">Cash Flow to Equity </t>
  </si>
  <si>
    <t xml:space="preserve">Debt Schedule </t>
  </si>
  <si>
    <t>Beggining Balance</t>
  </si>
  <si>
    <t>Loan Draw</t>
  </si>
  <si>
    <t>Interest (7%)</t>
  </si>
  <si>
    <t xml:space="preserve">Ending Balance </t>
  </si>
  <si>
    <t>Operating Period</t>
  </si>
  <si>
    <t>Interest Payment</t>
  </si>
  <si>
    <t>Principal Payment</t>
  </si>
  <si>
    <t>Debt Service Summary</t>
  </si>
  <si>
    <t xml:space="preserve">Payment Principal </t>
  </si>
  <si>
    <t xml:space="preserve">Total Debt Service </t>
  </si>
  <si>
    <t xml:space="preserve">                                Exit Calculations  </t>
  </si>
  <si>
    <t>2033 NOI</t>
  </si>
  <si>
    <t>Sales Price</t>
  </si>
  <si>
    <t>Sales Cost %</t>
  </si>
  <si>
    <t xml:space="preserve">Net Sales Proceeds </t>
  </si>
  <si>
    <t>Loan Payoff</t>
  </si>
  <si>
    <t xml:space="preserve">Net Proceeds to Equity </t>
  </si>
  <si>
    <t xml:space="preserve">Unlevered Cash Flow </t>
  </si>
  <si>
    <t xml:space="preserve">Total Cost </t>
  </si>
  <si>
    <t>Sales Proceeds</t>
  </si>
  <si>
    <t xml:space="preserve">Levered Cash Flow </t>
  </si>
  <si>
    <t>Equity Contribution</t>
  </si>
  <si>
    <t>Cash Flow To Equity</t>
  </si>
  <si>
    <t>Date</t>
  </si>
  <si>
    <t xml:space="preserve">               Summary Metrics</t>
  </si>
  <si>
    <t>Unlevered IRR</t>
  </si>
  <si>
    <t>Levered IRR</t>
  </si>
  <si>
    <t>Equity Multiple</t>
  </si>
  <si>
    <t>Stabilized Yield on Cash</t>
  </si>
  <si>
    <t>Cash on Cash (avg)</t>
  </si>
  <si>
    <t>Unlevered IRR vs Exit Cap Rate &amp; Rents</t>
  </si>
  <si>
    <t>10% Rents</t>
  </si>
  <si>
    <t>-5% Rent</t>
  </si>
  <si>
    <t>Base</t>
  </si>
  <si>
    <t xml:space="preserve">+5% Rent </t>
  </si>
  <si>
    <t xml:space="preserve">+10% Rent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</si>
</sst>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([$$-409]* #,##0.00_);_([$$-409]* \(#,##0.00\);_([$$-409]* &quot;-&quot;??_);_(@_)"/>
    <numFmt numFmtId="165" formatCode="0.0%"/>
    <numFmt numFmtId="166" formatCode="_(&quot;$&quot;* #,##0_);_(&quot;$&quot;* \(#,##0\);_(&quot;$&quot;* &quot;-&quot;??_);_(@_)"/>
  </numFmts>
  <fonts count="10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sz val="12"/>
      <color theme="1"/>
      <name val="Calibri"/>
      <scheme val="minor"/>
    </font>
    <font>
      <sz val="12"/>
      <color rgb="FF000000"/>
      <name val="Calibri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scheme val="minor"/>
    </font>
    <font>
      <b/>
      <sz val="12"/>
      <color rgb="FF000000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4" fillId="0" borderId="0" xfId="0" applyFont="1" applyAlignment="1">
      <alignment horizontal="center"/>
    </xf>
    <xf numFmtId="9" fontId="4" fillId="0" borderId="0" xfId="0" applyNumberFormat="1" applyFont="1"/>
    <xf numFmtId="2" fontId="4" fillId="0" borderId="0" xfId="0" applyNumberFormat="1" applyFont="1"/>
    <xf numFmtId="164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 vertical="center"/>
    </xf>
    <xf numFmtId="164" fontId="4" fillId="0" borderId="0" xfId="0" applyNumberFormat="1" applyFont="1"/>
    <xf numFmtId="10" fontId="4" fillId="0" borderId="0" xfId="0" applyNumberFormat="1" applyFont="1"/>
    <xf numFmtId="0" fontId="8" fillId="3" borderId="2" xfId="0" applyFont="1" applyFill="1" applyBorder="1"/>
    <xf numFmtId="0" fontId="8" fillId="3" borderId="2" xfId="0" applyFont="1" applyFill="1" applyBorder="1" applyAlignment="1">
      <alignment horizontal="center"/>
    </xf>
    <xf numFmtId="0" fontId="2" fillId="2" borderId="0" xfId="0" applyFont="1" applyFill="1"/>
    <xf numFmtId="164" fontId="2" fillId="2" borderId="0" xfId="0" applyNumberFormat="1" applyFont="1" applyFill="1"/>
    <xf numFmtId="0" fontId="8" fillId="4" borderId="1" xfId="0" applyFont="1" applyFill="1" applyBorder="1"/>
    <xf numFmtId="164" fontId="8" fillId="4" borderId="1" xfId="0" applyNumberFormat="1" applyFont="1" applyFill="1" applyBorder="1"/>
    <xf numFmtId="0" fontId="2" fillId="3" borderId="2" xfId="0" applyFont="1" applyFill="1" applyBorder="1"/>
    <xf numFmtId="0" fontId="8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/>
    </xf>
    <xf numFmtId="44" fontId="2" fillId="2" borderId="0" xfId="0" applyNumberFormat="1" applyFont="1" applyFill="1"/>
    <xf numFmtId="44" fontId="2" fillId="0" borderId="0" xfId="0" applyNumberFormat="1" applyFont="1"/>
    <xf numFmtId="164" fontId="2" fillId="0" borderId="0" xfId="0" applyNumberFormat="1" applyFont="1"/>
    <xf numFmtId="0" fontId="3" fillId="2" borderId="0" xfId="0" applyFont="1" applyFill="1"/>
    <xf numFmtId="9" fontId="2" fillId="2" borderId="0" xfId="0" applyNumberFormat="1" applyFont="1" applyFill="1"/>
    <xf numFmtId="165" fontId="3" fillId="2" borderId="0" xfId="0" applyNumberFormat="1" applyFont="1" applyFill="1"/>
    <xf numFmtId="44" fontId="4" fillId="2" borderId="0" xfId="0" applyNumberFormat="1" applyFont="1" applyFill="1"/>
    <xf numFmtId="164" fontId="4" fillId="2" borderId="0" xfId="0" applyNumberFormat="1" applyFont="1" applyFill="1"/>
    <xf numFmtId="0" fontId="4" fillId="2" borderId="0" xfId="0" applyFont="1" applyFill="1"/>
    <xf numFmtId="166" fontId="4" fillId="2" borderId="0" xfId="0" applyNumberFormat="1" applyFont="1" applyFill="1"/>
    <xf numFmtId="0" fontId="4" fillId="0" borderId="3" xfId="0" applyFont="1" applyBorder="1"/>
    <xf numFmtId="0" fontId="7" fillId="3" borderId="3" xfId="0" applyFont="1" applyFill="1" applyBorder="1"/>
    <xf numFmtId="0" fontId="7" fillId="3" borderId="3" xfId="0" applyFont="1" applyFill="1" applyBorder="1" applyAlignment="1">
      <alignment horizontal="center"/>
    </xf>
    <xf numFmtId="0" fontId="4" fillId="5" borderId="0" xfId="0" applyFont="1" applyFill="1"/>
    <xf numFmtId="0" fontId="7" fillId="5" borderId="0" xfId="0" applyFont="1" applyFill="1"/>
    <xf numFmtId="0" fontId="4" fillId="3" borderId="3" xfId="0" applyFont="1" applyFill="1" applyBorder="1"/>
    <xf numFmtId="0" fontId="4" fillId="2" borderId="0" xfId="0" applyFont="1" applyFill="1" applyAlignment="1">
      <alignment horizontal="left"/>
    </xf>
    <xf numFmtId="166" fontId="4" fillId="2" borderId="0" xfId="0" applyNumberFormat="1" applyFont="1" applyFill="1" applyAlignment="1">
      <alignment horizontal="right"/>
    </xf>
    <xf numFmtId="10" fontId="4" fillId="2" borderId="0" xfId="0" applyNumberFormat="1" applyFont="1" applyFill="1" applyAlignment="1">
      <alignment horizontal="right"/>
    </xf>
    <xf numFmtId="9" fontId="4" fillId="2" borderId="0" xfId="0" applyNumberFormat="1" applyFont="1" applyFill="1" applyAlignment="1">
      <alignment horizontal="right"/>
    </xf>
    <xf numFmtId="44" fontId="4" fillId="2" borderId="0" xfId="0" applyNumberFormat="1" applyFont="1" applyFill="1" applyAlignment="1">
      <alignment horizontal="right"/>
    </xf>
    <xf numFmtId="0" fontId="7" fillId="5" borderId="0" xfId="0" applyFont="1" applyFill="1" applyAlignment="1">
      <alignment horizontal="center"/>
    </xf>
    <xf numFmtId="14" fontId="6" fillId="5" borderId="0" xfId="0" applyNumberFormat="1" applyFont="1" applyFill="1" applyAlignment="1">
      <alignment horizontal="center"/>
    </xf>
    <xf numFmtId="10" fontId="4" fillId="2" borderId="0" xfId="0" applyNumberFormat="1" applyFont="1" applyFill="1"/>
    <xf numFmtId="2" fontId="4" fillId="2" borderId="0" xfId="0" applyNumberFormat="1" applyFont="1" applyFill="1"/>
    <xf numFmtId="10" fontId="7" fillId="6" borderId="4" xfId="0" applyNumberFormat="1" applyFont="1" applyFill="1" applyBorder="1"/>
    <xf numFmtId="0" fontId="2" fillId="6" borderId="5" xfId="0" applyFont="1" applyFill="1" applyBorder="1"/>
    <xf numFmtId="0" fontId="4" fillId="0" borderId="5" xfId="0" applyFont="1" applyBorder="1"/>
    <xf numFmtId="0" fontId="9" fillId="0" borderId="0" xfId="0" applyFont="1"/>
    <xf numFmtId="0" fontId="4" fillId="6" borderId="5" xfId="0" applyFont="1" applyFill="1" applyBorder="1"/>
    <xf numFmtId="10" fontId="7" fillId="6" borderId="5" xfId="0" applyNumberFormat="1" applyFont="1" applyFill="1" applyBorder="1"/>
    <xf numFmtId="0" fontId="2" fillId="0" borderId="5" xfId="0" applyFont="1" applyBorder="1"/>
    <xf numFmtId="10" fontId="4" fillId="0" borderId="5" xfId="0" applyNumberFormat="1" applyFont="1" applyBorder="1"/>
    <xf numFmtId="10" fontId="4" fillId="6" borderId="4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50"/>
  <sheetViews>
    <sheetView showGridLines="0" topLeftCell="A25" workbookViewId="0">
      <selection activeCell="C50" sqref="C50"/>
    </sheetView>
  </sheetViews>
  <sheetFormatPr defaultRowHeight="15.75"/>
  <cols>
    <col min="1" max="1" width="9.140625" style="4"/>
    <col min="2" max="2" width="26.85546875" style="4" bestFit="1" customWidth="1"/>
    <col min="3" max="5" width="19.5703125" style="4" customWidth="1"/>
    <col min="6" max="6" width="19.7109375" style="4" customWidth="1"/>
    <col min="7" max="7" width="21.85546875" style="4" bestFit="1" customWidth="1"/>
    <col min="8" max="16384" width="9.140625" style="4"/>
  </cols>
  <sheetData>
    <row r="2" spans="2:7">
      <c r="B2" s="1" t="s">
        <v>0</v>
      </c>
    </row>
    <row r="3" spans="2:7">
      <c r="B3" s="2"/>
    </row>
    <row r="4" spans="2:7">
      <c r="B4" s="2" t="s">
        <v>1</v>
      </c>
    </row>
    <row r="5" spans="2:7">
      <c r="B5" s="3" t="s">
        <v>2</v>
      </c>
    </row>
    <row r="6" spans="2:7">
      <c r="B6" s="4" t="s">
        <v>3</v>
      </c>
    </row>
    <row r="9" spans="2:7">
      <c r="B9" s="7" t="s">
        <v>4</v>
      </c>
    </row>
    <row r="10" spans="2:7">
      <c r="B10" s="5" t="s">
        <v>5</v>
      </c>
      <c r="C10" s="6" t="s">
        <v>6</v>
      </c>
      <c r="D10" s="6" t="s">
        <v>7</v>
      </c>
      <c r="E10" s="6" t="s">
        <v>8</v>
      </c>
      <c r="F10" s="6" t="s">
        <v>9</v>
      </c>
      <c r="G10" s="6" t="s">
        <v>10</v>
      </c>
    </row>
    <row r="11" spans="2:7">
      <c r="C11" s="9">
        <v>10</v>
      </c>
      <c r="D11" s="9">
        <v>450</v>
      </c>
      <c r="E11" s="12">
        <v>2200</v>
      </c>
      <c r="F11" s="12">
        <f>E11*12</f>
        <v>26400</v>
      </c>
      <c r="G11" s="12">
        <f>C11*F11</f>
        <v>264000</v>
      </c>
    </row>
    <row r="12" spans="2:7">
      <c r="B12" s="4" t="s">
        <v>11</v>
      </c>
      <c r="C12" s="9">
        <v>25</v>
      </c>
      <c r="D12" s="9">
        <v>650</v>
      </c>
      <c r="E12" s="12">
        <v>2800</v>
      </c>
      <c r="F12" s="12">
        <f>E12*12</f>
        <v>33600</v>
      </c>
      <c r="G12" s="12">
        <f>C12*F12</f>
        <v>840000</v>
      </c>
    </row>
    <row r="13" spans="2:7">
      <c r="B13" s="4" t="s">
        <v>12</v>
      </c>
      <c r="C13" s="9">
        <v>15</v>
      </c>
      <c r="D13" s="9">
        <v>900</v>
      </c>
      <c r="E13" s="13">
        <v>3800</v>
      </c>
      <c r="F13" s="12">
        <f>E13*12</f>
        <v>45600</v>
      </c>
      <c r="G13" s="12">
        <f>C13*F13</f>
        <v>684000</v>
      </c>
    </row>
    <row r="14" spans="2:7">
      <c r="B14" s="4" t="s">
        <v>13</v>
      </c>
      <c r="C14" s="9">
        <f>SUM(C11:C13)</f>
        <v>50</v>
      </c>
      <c r="F14" s="12">
        <f>SUMPRODUCT(C11:C13,F11:F13)/C14</f>
        <v>35760</v>
      </c>
      <c r="G14" s="12">
        <f>C14*F14</f>
        <v>1788000</v>
      </c>
    </row>
    <row r="15" spans="2:7">
      <c r="F15" s="14"/>
    </row>
    <row r="17" spans="2:3">
      <c r="B17" s="7" t="s">
        <v>14</v>
      </c>
    </row>
    <row r="18" spans="2:3">
      <c r="B18" s="4" t="s">
        <v>15</v>
      </c>
      <c r="C18" s="4">
        <f>SUMPRODUCT(C11:C13,D11:D13)</f>
        <v>34250</v>
      </c>
    </row>
    <row r="19" spans="2:3">
      <c r="B19" s="4" t="s">
        <v>16</v>
      </c>
      <c r="C19" s="10">
        <v>0.85</v>
      </c>
    </row>
    <row r="20" spans="2:3">
      <c r="B20" s="4" t="s">
        <v>17</v>
      </c>
      <c r="C20" s="11">
        <f>C18/C19</f>
        <v>40294.117647058825</v>
      </c>
    </row>
    <row r="23" spans="2:3">
      <c r="B23" s="8" t="s">
        <v>18</v>
      </c>
    </row>
    <row r="24" spans="2:3">
      <c r="B24" s="4" t="s">
        <v>19</v>
      </c>
      <c r="C24" s="14">
        <v>150</v>
      </c>
    </row>
    <row r="25" spans="2:3">
      <c r="B25" s="4" t="s">
        <v>20</v>
      </c>
      <c r="C25" s="14">
        <v>350</v>
      </c>
    </row>
    <row r="26" spans="2:3">
      <c r="B26" s="4" t="s">
        <v>21</v>
      </c>
      <c r="C26" s="14">
        <v>75</v>
      </c>
    </row>
    <row r="27" spans="2:3">
      <c r="B27" s="4" t="s">
        <v>22</v>
      </c>
      <c r="C27" s="14">
        <f>C24*C20</f>
        <v>6044117.6470588241</v>
      </c>
    </row>
    <row r="28" spans="2:3">
      <c r="B28" s="4" t="s">
        <v>23</v>
      </c>
      <c r="C28" s="14">
        <f>C25*C20</f>
        <v>14102941.176470589</v>
      </c>
    </row>
    <row r="29" spans="2:3">
      <c r="B29" s="4" t="s">
        <v>24</v>
      </c>
      <c r="C29" s="14">
        <f>C26*C20</f>
        <v>3022058.823529412</v>
      </c>
    </row>
    <row r="30" spans="2:3">
      <c r="B30" s="4" t="s">
        <v>25</v>
      </c>
      <c r="C30" s="14">
        <f>SUM(C27:C29)</f>
        <v>23169117.647058826</v>
      </c>
    </row>
    <row r="33" spans="2:5">
      <c r="B33" s="8" t="s">
        <v>26</v>
      </c>
    </row>
    <row r="34" spans="2:5">
      <c r="B34" s="4" t="s">
        <v>27</v>
      </c>
      <c r="C34" s="10">
        <v>0.05</v>
      </c>
      <c r="E34" s="14"/>
    </row>
    <row r="35" spans="2:5">
      <c r="B35" s="4" t="s">
        <v>28</v>
      </c>
      <c r="C35" s="4">
        <v>8500</v>
      </c>
      <c r="E35" s="14"/>
    </row>
    <row r="36" spans="2:5">
      <c r="B36" s="4" t="s">
        <v>29</v>
      </c>
      <c r="C36" s="4">
        <v>4000</v>
      </c>
    </row>
    <row r="37" spans="2:5">
      <c r="B37" s="4" t="s">
        <v>30</v>
      </c>
      <c r="C37" s="15">
        <v>2.5000000000000001E-2</v>
      </c>
    </row>
    <row r="38" spans="2:5">
      <c r="B38" s="4" t="s">
        <v>31</v>
      </c>
      <c r="C38" s="15">
        <v>2.5000000000000001E-2</v>
      </c>
    </row>
    <row r="41" spans="2:5">
      <c r="B41" s="8" t="s">
        <v>32</v>
      </c>
    </row>
    <row r="42" spans="2:5">
      <c r="B42" s="4" t="s">
        <v>33</v>
      </c>
      <c r="C42" s="10">
        <v>0.65</v>
      </c>
    </row>
    <row r="43" spans="2:5">
      <c r="B43" s="4" t="s">
        <v>34</v>
      </c>
      <c r="C43" s="10">
        <v>7.0000000000000007E-2</v>
      </c>
    </row>
    <row r="44" spans="2:5">
      <c r="B44" s="4" t="s">
        <v>35</v>
      </c>
      <c r="C44" s="14">
        <f>C30*C42</f>
        <v>15059926.470588237</v>
      </c>
    </row>
    <row r="45" spans="2:5">
      <c r="B45" s="4" t="s">
        <v>36</v>
      </c>
      <c r="C45" s="14">
        <f>C30-C44</f>
        <v>8109191.1764705889</v>
      </c>
    </row>
    <row r="47" spans="2:5">
      <c r="B47" s="8" t="s">
        <v>37</v>
      </c>
    </row>
    <row r="48" spans="2:5">
      <c r="B48" s="4" t="s">
        <v>38</v>
      </c>
      <c r="C48" s="4">
        <v>5</v>
      </c>
    </row>
    <row r="49" spans="2:3">
      <c r="B49" s="4" t="s">
        <v>39</v>
      </c>
      <c r="C49" s="15">
        <v>4.7500000000000001E-2</v>
      </c>
    </row>
    <row r="50" spans="2:3">
      <c r="B50" s="4" t="s">
        <v>40</v>
      </c>
      <c r="C50" s="10">
        <v>0.02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EA369-2A8A-42A3-8360-4CE01B6E1939}">
  <dimension ref="B2:G39"/>
  <sheetViews>
    <sheetView showGridLines="0" workbookViewId="0">
      <selection activeCell="D2" sqref="D2"/>
    </sheetView>
  </sheetViews>
  <sheetFormatPr defaultRowHeight="15.75"/>
  <cols>
    <col min="1" max="1" width="4.42578125" style="2" customWidth="1"/>
    <col min="2" max="2" width="34.28515625" style="2" bestFit="1" customWidth="1"/>
    <col min="3" max="3" width="19.28515625" style="2" customWidth="1"/>
    <col min="4" max="4" width="19.5703125" style="2" customWidth="1"/>
    <col min="5" max="5" width="17" style="2" customWidth="1"/>
    <col min="6" max="6" width="17.7109375" style="2" customWidth="1"/>
    <col min="7" max="16384" width="9.140625" style="2"/>
  </cols>
  <sheetData>
    <row r="2" spans="2:6">
      <c r="B2" s="16" t="s">
        <v>41</v>
      </c>
      <c r="C2" s="17" t="s">
        <v>42</v>
      </c>
      <c r="D2" s="17">
        <v>2026</v>
      </c>
      <c r="E2" s="17">
        <v>2027</v>
      </c>
      <c r="F2" s="17">
        <v>2028</v>
      </c>
    </row>
    <row r="3" spans="2:6">
      <c r="B3" s="18" t="s">
        <v>43</v>
      </c>
      <c r="C3" s="19">
        <f>'Assumptions Dashboard'!C20*'Assumptions Dashboard'!C24</f>
        <v>6044117.6470588241</v>
      </c>
      <c r="D3" s="19">
        <f>C3</f>
        <v>6044117.6470588241</v>
      </c>
      <c r="E3" s="19"/>
      <c r="F3" s="19"/>
    </row>
    <row r="4" spans="2:6">
      <c r="B4" s="18" t="s">
        <v>44</v>
      </c>
      <c r="C4" s="19">
        <f>'Assumptions Dashboard'!C20*'Assumptions Dashboard'!C25</f>
        <v>14102941.176470589</v>
      </c>
      <c r="D4" s="19"/>
      <c r="E4" s="19">
        <f>C4*1/3</f>
        <v>4700980.3921568627</v>
      </c>
      <c r="F4" s="19">
        <f>C4*2/3</f>
        <v>9401960.7843137253</v>
      </c>
    </row>
    <row r="5" spans="2:6">
      <c r="B5" s="18" t="s">
        <v>45</v>
      </c>
      <c r="C5" s="19">
        <f>'Assumptions Dashboard'!C20*'Assumptions Dashboard'!C26</f>
        <v>3022058.823529412</v>
      </c>
      <c r="D5" s="19">
        <f>C5</f>
        <v>3022058.823529412</v>
      </c>
      <c r="E5" s="19"/>
      <c r="F5" s="19"/>
    </row>
    <row r="6" spans="2:6">
      <c r="B6" s="20" t="s">
        <v>46</v>
      </c>
      <c r="C6" s="21">
        <f>SUM(C3:C5)</f>
        <v>23169117.647058826</v>
      </c>
      <c r="D6" s="21">
        <f>SUM(D3:D5)</f>
        <v>9066176.470588237</v>
      </c>
      <c r="E6" s="21">
        <f>SUM(E3:E5)</f>
        <v>4700980.3921568627</v>
      </c>
      <c r="F6" s="21">
        <f>SUM(F3:F5)</f>
        <v>9401960.7843137253</v>
      </c>
    </row>
    <row r="10" spans="2:6">
      <c r="B10" s="16" t="s">
        <v>47</v>
      </c>
      <c r="C10" s="22"/>
    </row>
    <row r="11" spans="2:6">
      <c r="B11" s="23" t="s">
        <v>48</v>
      </c>
      <c r="C11" s="18"/>
    </row>
    <row r="12" spans="2:6">
      <c r="B12" s="18" t="s">
        <v>43</v>
      </c>
      <c r="C12" s="19">
        <f>C3</f>
        <v>6044117.6470588241</v>
      </c>
    </row>
    <row r="13" spans="2:6">
      <c r="B13" s="18" t="s">
        <v>44</v>
      </c>
      <c r="C13" s="19">
        <f>C4</f>
        <v>14102941.176470589</v>
      </c>
    </row>
    <row r="14" spans="2:6">
      <c r="B14" s="18" t="s">
        <v>45</v>
      </c>
      <c r="C14" s="19">
        <f>C5</f>
        <v>3022058.823529412</v>
      </c>
    </row>
    <row r="15" spans="2:6">
      <c r="B15" s="18" t="s">
        <v>49</v>
      </c>
      <c r="C15" s="19">
        <f>SUM(C12:C14)</f>
        <v>23169117.647058826</v>
      </c>
    </row>
    <row r="16" spans="2:6">
      <c r="B16" s="24" t="s">
        <v>50</v>
      </c>
      <c r="C16" s="18"/>
    </row>
    <row r="17" spans="2:7">
      <c r="B17" s="18" t="s">
        <v>51</v>
      </c>
      <c r="C17" s="19">
        <f>'Assumptions Dashboard'!C44</f>
        <v>15059926.470588237</v>
      </c>
    </row>
    <row r="18" spans="2:7">
      <c r="B18" s="18" t="s">
        <v>52</v>
      </c>
      <c r="C18" s="25">
        <f>'Assumptions Dashboard'!C45</f>
        <v>8109191.1764705889</v>
      </c>
    </row>
    <row r="19" spans="2:7">
      <c r="B19" s="18" t="s">
        <v>53</v>
      </c>
      <c r="C19" s="25">
        <f>SUM(C17:C18)</f>
        <v>23169117.647058826</v>
      </c>
    </row>
    <row r="20" spans="2:7">
      <c r="B20" s="18" t="s">
        <v>54</v>
      </c>
      <c r="C20" s="25">
        <f>C15-C19</f>
        <v>0</v>
      </c>
    </row>
    <row r="21" spans="2:7">
      <c r="C21" s="26"/>
    </row>
    <row r="22" spans="2:7">
      <c r="B22" s="16" t="s">
        <v>55</v>
      </c>
      <c r="C22" s="17" t="s">
        <v>42</v>
      </c>
      <c r="D22" s="17">
        <v>2026</v>
      </c>
      <c r="E22" s="17">
        <v>2027</v>
      </c>
      <c r="F22" s="17">
        <v>2028</v>
      </c>
    </row>
    <row r="23" spans="2:7">
      <c r="B23" s="18" t="s">
        <v>46</v>
      </c>
      <c r="C23" s="19">
        <f>C6</f>
        <v>23169117.647058826</v>
      </c>
      <c r="D23" s="19">
        <f>D6</f>
        <v>9066176.470588237</v>
      </c>
      <c r="E23" s="19">
        <f>E6</f>
        <v>4700980.3921568627</v>
      </c>
      <c r="F23" s="19">
        <f>F6</f>
        <v>9401960.7843137253</v>
      </c>
    </row>
    <row r="24" spans="2:7">
      <c r="B24" s="18" t="s">
        <v>56</v>
      </c>
      <c r="C24" s="19">
        <f>C23*'Assumptions Dashboard'!C42</f>
        <v>15059926.470588237</v>
      </c>
      <c r="D24" s="19">
        <f>D23*'Assumptions Dashboard'!C42</f>
        <v>5893014.7058823546</v>
      </c>
      <c r="E24" s="19">
        <f>E23*'Assumptions Dashboard'!C42</f>
        <v>3055637.254901961</v>
      </c>
      <c r="F24" s="19">
        <f>F23*'Assumptions Dashboard'!C42</f>
        <v>6111274.5098039219</v>
      </c>
    </row>
    <row r="25" spans="2:7">
      <c r="B25" s="18" t="s">
        <v>57</v>
      </c>
      <c r="C25" s="18"/>
      <c r="D25" s="19">
        <f>D24</f>
        <v>5893014.7058823546</v>
      </c>
      <c r="E25" s="19">
        <f>D25+E24</f>
        <v>8948651.9607843161</v>
      </c>
      <c r="F25" s="19">
        <f>E25+F24</f>
        <v>15059926.470588237</v>
      </c>
    </row>
    <row r="26" spans="2:7">
      <c r="G26" s="27"/>
    </row>
    <row r="28" spans="2:7">
      <c r="B28" s="16" t="s">
        <v>58</v>
      </c>
      <c r="C28" s="17" t="s">
        <v>42</v>
      </c>
      <c r="D28" s="17">
        <v>2026</v>
      </c>
      <c r="E28" s="17">
        <v>2027</v>
      </c>
      <c r="F28" s="17">
        <v>2028</v>
      </c>
    </row>
    <row r="29" spans="2:7">
      <c r="B29" s="18" t="s">
        <v>46</v>
      </c>
      <c r="C29" s="19">
        <f>C23</f>
        <v>23169117.647058826</v>
      </c>
      <c r="D29" s="19">
        <f t="shared" ref="D29:F29" si="0">D23</f>
        <v>9066176.470588237</v>
      </c>
      <c r="E29" s="19">
        <f t="shared" si="0"/>
        <v>4700980.3921568627</v>
      </c>
      <c r="F29" s="19">
        <f t="shared" si="0"/>
        <v>9401960.7843137253</v>
      </c>
    </row>
    <row r="30" spans="2:7">
      <c r="B30" s="18" t="s">
        <v>59</v>
      </c>
      <c r="C30" s="25">
        <f>C29*0.35</f>
        <v>8109191.1764705889</v>
      </c>
      <c r="D30" s="25">
        <f>D29*0.35</f>
        <v>3173161.7647058829</v>
      </c>
      <c r="E30" s="25">
        <f t="shared" ref="D30:F30" si="1">E29*0.35</f>
        <v>1645343.1372549019</v>
      </c>
      <c r="F30" s="25">
        <f t="shared" si="1"/>
        <v>3290686.2745098039</v>
      </c>
    </row>
    <row r="31" spans="2:7">
      <c r="B31" s="18" t="s">
        <v>60</v>
      </c>
      <c r="C31" s="18"/>
      <c r="D31" s="25">
        <f>D30</f>
        <v>3173161.7647058829</v>
      </c>
      <c r="E31" s="25">
        <f>D31+E30</f>
        <v>4818504.9019607846</v>
      </c>
      <c r="F31" s="25">
        <f>E31+F30</f>
        <v>8109191.1764705889</v>
      </c>
    </row>
    <row r="33" spans="2:3">
      <c r="B33" s="16" t="s">
        <v>61</v>
      </c>
      <c r="C33" s="22"/>
    </row>
    <row r="34" spans="2:3">
      <c r="B34" s="18" t="s">
        <v>62</v>
      </c>
      <c r="C34" s="19">
        <f>C6</f>
        <v>23169117.647058826</v>
      </c>
    </row>
    <row r="35" spans="2:3">
      <c r="B35" s="18" t="s">
        <v>63</v>
      </c>
      <c r="C35" s="19">
        <f>C34/50</f>
        <v>463382.3529411765</v>
      </c>
    </row>
    <row r="36" spans="2:3">
      <c r="B36" s="18" t="s">
        <v>64</v>
      </c>
      <c r="C36" s="25">
        <f>C34/'Assumptions Dashboard'!C20</f>
        <v>575</v>
      </c>
    </row>
    <row r="37" spans="2:3">
      <c r="B37" s="28" t="s">
        <v>65</v>
      </c>
      <c r="C37" s="29">
        <f>C12/C6</f>
        <v>0.2608695652173913</v>
      </c>
    </row>
    <row r="38" spans="2:3">
      <c r="B38" s="28" t="s">
        <v>66</v>
      </c>
      <c r="C38" s="29">
        <f>C13/C6</f>
        <v>0.60869565217391297</v>
      </c>
    </row>
    <row r="39" spans="2:3">
      <c r="B39" s="28" t="s">
        <v>67</v>
      </c>
      <c r="C39" s="30">
        <f>C14/C6</f>
        <v>0.13043478260869565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ED995-12C5-450C-8D4B-0BFFC6A483AF}">
  <dimension ref="A2:J25"/>
  <sheetViews>
    <sheetView showGridLines="0" workbookViewId="0">
      <selection activeCell="H18" sqref="H18"/>
    </sheetView>
  </sheetViews>
  <sheetFormatPr defaultRowHeight="15.75"/>
  <cols>
    <col min="1" max="1" width="24" style="4" customWidth="1"/>
    <col min="2" max="5" width="16.7109375" style="4" customWidth="1"/>
    <col min="6" max="6" width="18.42578125" style="4" customWidth="1"/>
    <col min="7" max="16384" width="9.140625" style="4"/>
  </cols>
  <sheetData>
    <row r="2" spans="1:6">
      <c r="A2" s="36" t="s">
        <v>68</v>
      </c>
      <c r="B2" s="37">
        <v>2029</v>
      </c>
      <c r="C2" s="37">
        <v>2030</v>
      </c>
      <c r="D2" s="37">
        <v>2031</v>
      </c>
      <c r="E2" s="37">
        <v>2032</v>
      </c>
      <c r="F2" s="37">
        <v>2033</v>
      </c>
    </row>
    <row r="3" spans="1:6">
      <c r="A3" s="33" t="s">
        <v>69</v>
      </c>
      <c r="B3" s="31">
        <f>'Assumptions Dashboard'!G14*(1.025)^3</f>
        <v>1925480.4374999998</v>
      </c>
      <c r="C3" s="31">
        <f>B3*(1+'Assumptions Dashboard'!C37)</f>
        <v>1973617.4484374996</v>
      </c>
      <c r="D3" s="31">
        <f>C3*(1+'Assumptions Dashboard'!C37)</f>
        <v>2022957.8846484369</v>
      </c>
      <c r="E3" s="31">
        <f>D3*(1+'Assumptions Dashboard'!C37)</f>
        <v>2073531.8317646477</v>
      </c>
      <c r="F3" s="31">
        <f>E3*(1+'Assumptions Dashboard'!C37)</f>
        <v>2125370.1275587636</v>
      </c>
    </row>
    <row r="4" spans="1:6">
      <c r="A4" s="33" t="s">
        <v>70</v>
      </c>
      <c r="B4" s="31">
        <f>B3*'Assumptions Dashboard'!C34</f>
        <v>96274.021874999991</v>
      </c>
      <c r="C4" s="31">
        <f>C3*'Assumptions Dashboard'!C34</f>
        <v>98680.872421874985</v>
      </c>
      <c r="D4" s="31">
        <f>D3*'Assumptions Dashboard'!C34</f>
        <v>101147.89423242185</v>
      </c>
      <c r="E4" s="31">
        <f>E3*'Assumptions Dashboard'!C34</f>
        <v>103676.59158823239</v>
      </c>
      <c r="F4" s="31">
        <f>F3*'Assumptions Dashboard'!C34</f>
        <v>106268.50637793819</v>
      </c>
    </row>
    <row r="5" spans="1:6">
      <c r="A5" s="33" t="s">
        <v>71</v>
      </c>
      <c r="B5" s="31">
        <f>B3-B4</f>
        <v>1829206.4156249997</v>
      </c>
      <c r="C5" s="31">
        <f t="shared" ref="C5:F5" si="0">C3-C4</f>
        <v>1874936.5760156247</v>
      </c>
      <c r="D5" s="31">
        <f t="shared" si="0"/>
        <v>1921809.990416015</v>
      </c>
      <c r="E5" s="31">
        <f t="shared" si="0"/>
        <v>1969855.2401764153</v>
      </c>
      <c r="F5" s="31">
        <f t="shared" si="0"/>
        <v>2019101.6211808254</v>
      </c>
    </row>
    <row r="9" spans="1:6">
      <c r="A9" s="36" t="s">
        <v>72</v>
      </c>
      <c r="B9" s="37">
        <v>2029</v>
      </c>
      <c r="C9" s="37">
        <v>2030</v>
      </c>
      <c r="D9" s="37">
        <v>2031</v>
      </c>
      <c r="E9" s="37">
        <v>2032</v>
      </c>
      <c r="F9" s="37">
        <v>2033</v>
      </c>
    </row>
    <row r="10" spans="1:6">
      <c r="A10" s="33" t="s">
        <v>73</v>
      </c>
      <c r="B10" s="32">
        <f>('Assumptions Dashboard'!$C$35*'Assumptions Dashboard'!$C$14)*(1+'Assumptions Dashboard'!$C$38)^3</f>
        <v>457678.51562499994</v>
      </c>
      <c r="C10" s="32">
        <f>B10*(1.025)</f>
        <v>469120.47851562488</v>
      </c>
      <c r="D10" s="32">
        <f t="shared" ref="D10:F10" si="1">C10*(1.025)</f>
        <v>480848.49047851545</v>
      </c>
      <c r="E10" s="32">
        <f t="shared" si="1"/>
        <v>492869.70274047827</v>
      </c>
      <c r="F10" s="32">
        <f t="shared" si="1"/>
        <v>505191.44530899019</v>
      </c>
    </row>
    <row r="11" spans="1:6">
      <c r="A11" s="33" t="s">
        <v>74</v>
      </c>
      <c r="B11" s="32">
        <f>('Assumptions Dashboard'!C36*'Assumptions Dashboard'!C14)*(1.025)^3</f>
        <v>215378.12499999997</v>
      </c>
      <c r="C11" s="32">
        <f>B11*(1.025)</f>
        <v>220762.57812499994</v>
      </c>
      <c r="D11" s="32">
        <f t="shared" ref="D11:F11" si="2">C11*(1.025)</f>
        <v>226281.64257812491</v>
      </c>
      <c r="E11" s="32">
        <f t="shared" si="2"/>
        <v>231938.68364257802</v>
      </c>
      <c r="F11" s="32">
        <f t="shared" si="2"/>
        <v>237737.15073364245</v>
      </c>
    </row>
    <row r="12" spans="1:6">
      <c r="A12" s="33" t="s">
        <v>75</v>
      </c>
      <c r="B12" s="32">
        <f>SUM(B10:B11)</f>
        <v>673056.64062499988</v>
      </c>
      <c r="C12" s="32">
        <f t="shared" ref="C12:F12" si="3">SUM(C10:C11)</f>
        <v>689883.05664062477</v>
      </c>
      <c r="D12" s="32">
        <f t="shared" si="3"/>
        <v>707130.13305664039</v>
      </c>
      <c r="E12" s="32">
        <f t="shared" si="3"/>
        <v>724808.38638305629</v>
      </c>
      <c r="F12" s="32">
        <f t="shared" si="3"/>
        <v>742928.59604263259</v>
      </c>
    </row>
    <row r="16" spans="1:6">
      <c r="A16" s="36" t="s">
        <v>76</v>
      </c>
      <c r="B16" s="37">
        <v>2029</v>
      </c>
      <c r="C16" s="37">
        <v>2030</v>
      </c>
      <c r="D16" s="37">
        <v>2031</v>
      </c>
      <c r="E16" s="37">
        <v>2032</v>
      </c>
      <c r="F16" s="37">
        <v>2033</v>
      </c>
    </row>
    <row r="17" spans="1:10">
      <c r="A17" s="33" t="s">
        <v>77</v>
      </c>
      <c r="B17" s="31">
        <f>B5-B12</f>
        <v>1156149.7749999999</v>
      </c>
      <c r="C17" s="31">
        <f>C5-C12</f>
        <v>1185053.5193749999</v>
      </c>
      <c r="D17" s="31">
        <f>D5-D12</f>
        <v>1214679.8573593746</v>
      </c>
      <c r="E17" s="31">
        <f>E5-E12</f>
        <v>1245046.8537933589</v>
      </c>
      <c r="F17" s="31">
        <f>F5-F12</f>
        <v>1276173.0251381928</v>
      </c>
    </row>
    <row r="21" spans="1:10">
      <c r="A21" s="36" t="s">
        <v>78</v>
      </c>
      <c r="B21" s="37">
        <v>2029</v>
      </c>
      <c r="C21" s="37">
        <v>2030</v>
      </c>
      <c r="D21" s="37">
        <v>2031</v>
      </c>
      <c r="E21" s="37">
        <v>2032</v>
      </c>
      <c r="F21" s="37">
        <v>2033</v>
      </c>
    </row>
    <row r="22" spans="1:10">
      <c r="A22" s="33" t="s">
        <v>77</v>
      </c>
      <c r="B22" s="31">
        <f>B17</f>
        <v>1156149.7749999999</v>
      </c>
      <c r="C22" s="31">
        <f>C17</f>
        <v>1185053.5193749999</v>
      </c>
      <c r="D22" s="31">
        <f>D17</f>
        <v>1214679.8573593746</v>
      </c>
      <c r="E22" s="31">
        <f>E17</f>
        <v>1245046.8537933589</v>
      </c>
      <c r="F22" s="31">
        <f>F17</f>
        <v>1276173.0251381928</v>
      </c>
    </row>
    <row r="23" spans="1:10">
      <c r="A23" s="33" t="s">
        <v>79</v>
      </c>
      <c r="B23" s="33">
        <f>'Debt Schedule '!B19</f>
        <v>1168453.2349797797</v>
      </c>
      <c r="C23" s="33">
        <f>'Debt Schedule '!C19</f>
        <v>1168453.2349797797</v>
      </c>
      <c r="D23" s="33">
        <f>'Debt Schedule '!D19</f>
        <v>1168453.2349797797</v>
      </c>
      <c r="E23" s="33">
        <f>'Debt Schedule '!E19</f>
        <v>1168453.2349797797</v>
      </c>
      <c r="F23" s="33">
        <f>'Debt Schedule '!F21</f>
        <v>17860642.306119487</v>
      </c>
    </row>
    <row r="24" spans="1:10">
      <c r="A24" s="33" t="s">
        <v>80</v>
      </c>
      <c r="B24" s="31">
        <f>B22-B23</f>
        <v>-12303.459979779785</v>
      </c>
      <c r="C24" s="31">
        <f t="shared" ref="C24:F24" si="4">C22-C23</f>
        <v>16600.284395220224</v>
      </c>
      <c r="D24" s="31">
        <f t="shared" si="4"/>
        <v>46226.622379594948</v>
      </c>
      <c r="E24" s="31">
        <f t="shared" si="4"/>
        <v>76593.618813579204</v>
      </c>
      <c r="F24" s="31">
        <f>F22-F23</f>
        <v>-16584469.280981295</v>
      </c>
    </row>
    <row r="25" spans="1:10">
      <c r="J25" s="3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60EF5-391E-4C80-9361-9559EB93057E}">
  <dimension ref="A2:F27"/>
  <sheetViews>
    <sheetView showGridLines="0" workbookViewId="0">
      <selection activeCell="D19" sqref="D19"/>
    </sheetView>
  </sheetViews>
  <sheetFormatPr defaultRowHeight="15.75"/>
  <cols>
    <col min="1" max="1" width="25.42578125" style="4" customWidth="1"/>
    <col min="2" max="4" width="16.28515625" style="4" customWidth="1"/>
    <col min="5" max="5" width="13.7109375" style="4" bestFit="1" customWidth="1"/>
    <col min="6" max="6" width="16.28515625" style="4" customWidth="1"/>
    <col min="7" max="16384" width="9.140625" style="4"/>
  </cols>
  <sheetData>
    <row r="2" spans="1:6">
      <c r="A2" s="36" t="s">
        <v>81</v>
      </c>
      <c r="B2" s="37">
        <v>2026</v>
      </c>
      <c r="C2" s="37">
        <v>2027</v>
      </c>
      <c r="D2" s="37">
        <v>2028</v>
      </c>
    </row>
    <row r="3" spans="1:6">
      <c r="A3" s="33" t="s">
        <v>82</v>
      </c>
      <c r="B3" s="33"/>
      <c r="C3" s="31">
        <f>B6</f>
        <v>6099270.220588237</v>
      </c>
      <c r="D3" s="31">
        <f>C6</f>
        <v>9688803.6948529426</v>
      </c>
    </row>
    <row r="4" spans="1:6">
      <c r="A4" s="33" t="s">
        <v>83</v>
      </c>
      <c r="B4" s="31">
        <f>'Development Budget'!D24</f>
        <v>5893014.7058823546</v>
      </c>
      <c r="C4" s="31">
        <f>'Development Budget'!E24</f>
        <v>3055637.254901961</v>
      </c>
      <c r="D4" s="31">
        <f>'Development Budget'!F24</f>
        <v>6111274.5098039219</v>
      </c>
    </row>
    <row r="5" spans="1:6">
      <c r="A5" s="33" t="s">
        <v>84</v>
      </c>
      <c r="B5" s="31">
        <f>B4*'Assumptions Dashboard'!C43/2</f>
        <v>206255.51470588244</v>
      </c>
      <c r="C5" s="31">
        <f>(C3*'Assumptions Dashboard'!C43)+('Debt Schedule '!C4*'Assumptions Dashboard'!C43/2)</f>
        <v>533896.21936274529</v>
      </c>
      <c r="D5" s="31">
        <f>(D3*'Assumptions Dashboard'!C43)+('Debt Schedule '!D4*'Assumptions Dashboard'!C43/2)</f>
        <v>892110.86648284341</v>
      </c>
    </row>
    <row r="6" spans="1:6">
      <c r="A6" s="33" t="s">
        <v>85</v>
      </c>
      <c r="B6" s="31">
        <f>SUM(B4:B5)</f>
        <v>6099270.220588237</v>
      </c>
      <c r="C6" s="34">
        <f>SUM(C3:C5)</f>
        <v>9688803.6948529426</v>
      </c>
      <c r="D6" s="34">
        <f>SUM(D3:D5)</f>
        <v>16692189.071139708</v>
      </c>
    </row>
    <row r="8" spans="1:6">
      <c r="A8" s="8"/>
    </row>
    <row r="10" spans="1:6">
      <c r="A10" s="36" t="s">
        <v>86</v>
      </c>
      <c r="B10" s="37">
        <v>2029</v>
      </c>
      <c r="C10" s="37">
        <v>2030</v>
      </c>
      <c r="D10" s="37">
        <v>2031</v>
      </c>
      <c r="E10" s="37">
        <v>2032</v>
      </c>
      <c r="F10" s="37">
        <v>2033</v>
      </c>
    </row>
    <row r="11" spans="1:6">
      <c r="A11" s="33" t="s">
        <v>82</v>
      </c>
      <c r="B11" s="34">
        <f>D6</f>
        <v>16692189.071139708</v>
      </c>
      <c r="C11" s="34">
        <f>D6</f>
        <v>16692189.071139708</v>
      </c>
      <c r="D11" s="34">
        <f>D6</f>
        <v>16692189.071139708</v>
      </c>
      <c r="E11" s="34">
        <f>D6</f>
        <v>16692189.071139708</v>
      </c>
      <c r="F11" s="34">
        <f>D6</f>
        <v>16692189.071139708</v>
      </c>
    </row>
    <row r="12" spans="1:6">
      <c r="A12" s="33" t="s">
        <v>87</v>
      </c>
      <c r="B12" s="34">
        <f>B11*'Assumptions Dashboard'!$C$43</f>
        <v>1168453.2349797797</v>
      </c>
      <c r="C12" s="34">
        <f>C11*'Assumptions Dashboard'!$C$43</f>
        <v>1168453.2349797797</v>
      </c>
      <c r="D12" s="34">
        <f>D11*'Assumptions Dashboard'!$C$43</f>
        <v>1168453.2349797797</v>
      </c>
      <c r="E12" s="34">
        <f>E11*'Assumptions Dashboard'!$C$43</f>
        <v>1168453.2349797797</v>
      </c>
      <c r="F12" s="34">
        <f>F11*'Assumptions Dashboard'!$C$43</f>
        <v>1168453.2349797797</v>
      </c>
    </row>
    <row r="13" spans="1:6">
      <c r="A13" s="33" t="s">
        <v>88</v>
      </c>
      <c r="B13" s="33"/>
      <c r="C13" s="33"/>
      <c r="D13" s="33"/>
      <c r="E13" s="33"/>
      <c r="F13" s="34">
        <f>E11</f>
        <v>16692189.071139708</v>
      </c>
    </row>
    <row r="14" spans="1:6">
      <c r="A14" s="33" t="s">
        <v>85</v>
      </c>
      <c r="B14" s="34">
        <f>B11-B13</f>
        <v>16692189.071139708</v>
      </c>
      <c r="C14" s="34">
        <f t="shared" ref="C14:E14" si="0">C11-C13</f>
        <v>16692189.071139708</v>
      </c>
      <c r="D14" s="34">
        <f t="shared" si="0"/>
        <v>16692189.071139708</v>
      </c>
      <c r="E14" s="34">
        <f>E11-E13</f>
        <v>16692189.071139708</v>
      </c>
      <c r="F14" s="34">
        <f>F11-F13</f>
        <v>0</v>
      </c>
    </row>
    <row r="15" spans="1:6">
      <c r="A15" s="39"/>
      <c r="B15" s="38"/>
      <c r="C15" s="38"/>
      <c r="D15" s="38"/>
      <c r="E15" s="38"/>
      <c r="F15" s="38"/>
    </row>
    <row r="18" spans="1:6">
      <c r="A18" s="36" t="s">
        <v>89</v>
      </c>
      <c r="B18" s="37">
        <f>B10</f>
        <v>2029</v>
      </c>
      <c r="C18" s="37">
        <f>C10</f>
        <v>2030</v>
      </c>
      <c r="D18" s="37">
        <f>D10</f>
        <v>2031</v>
      </c>
      <c r="E18" s="37">
        <f>E10</f>
        <v>2032</v>
      </c>
      <c r="F18" s="37">
        <f>F10</f>
        <v>2033</v>
      </c>
    </row>
    <row r="19" spans="1:6">
      <c r="A19" s="33" t="str">
        <f>A12</f>
        <v>Interest Payment</v>
      </c>
      <c r="B19" s="34">
        <f>B12</f>
        <v>1168453.2349797797</v>
      </c>
      <c r="C19" s="34">
        <f>C12</f>
        <v>1168453.2349797797</v>
      </c>
      <c r="D19" s="34">
        <f>D12</f>
        <v>1168453.2349797797</v>
      </c>
      <c r="E19" s="34">
        <f>E12</f>
        <v>1168453.2349797797</v>
      </c>
      <c r="F19" s="34">
        <f>F12</f>
        <v>1168453.2349797797</v>
      </c>
    </row>
    <row r="20" spans="1:6">
      <c r="A20" s="33" t="s">
        <v>90</v>
      </c>
      <c r="B20" s="33"/>
      <c r="C20" s="33"/>
      <c r="D20" s="33"/>
      <c r="E20" s="33"/>
      <c r="F20" s="34">
        <f>F13</f>
        <v>16692189.071139708</v>
      </c>
    </row>
    <row r="21" spans="1:6">
      <c r="A21" s="33" t="s">
        <v>91</v>
      </c>
      <c r="B21" s="33"/>
      <c r="C21" s="33"/>
      <c r="D21" s="33"/>
      <c r="E21" s="33"/>
      <c r="F21" s="34">
        <f>F19+F20</f>
        <v>17860642.306119487</v>
      </c>
    </row>
    <row r="27" spans="1:6">
      <c r="A27" s="3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86514-7C7A-42AA-8048-3F77DFBAC5C1}">
  <dimension ref="B2:K41"/>
  <sheetViews>
    <sheetView showGridLines="0" topLeftCell="A15" workbookViewId="0">
      <selection activeCell="C36" sqref="C36"/>
    </sheetView>
  </sheetViews>
  <sheetFormatPr defaultRowHeight="15.75"/>
  <cols>
    <col min="1" max="1" width="4.42578125" style="4" customWidth="1"/>
    <col min="2" max="2" width="23.140625" style="4" bestFit="1" customWidth="1"/>
    <col min="3" max="7" width="16.140625" style="4" customWidth="1"/>
    <col min="8" max="9" width="15.5703125" style="4" bestFit="1" customWidth="1"/>
    <col min="10" max="10" width="17.7109375" style="4" bestFit="1" customWidth="1"/>
    <col min="11" max="16384" width="9.140625" style="4"/>
  </cols>
  <sheetData>
    <row r="2" spans="2:10">
      <c r="B2" s="37" t="s">
        <v>92</v>
      </c>
      <c r="C2" s="40"/>
    </row>
    <row r="3" spans="2:10">
      <c r="B3" s="41" t="s">
        <v>93</v>
      </c>
      <c r="C3" s="42">
        <f>'Pro Forma'!F17</f>
        <v>1276173.0251381928</v>
      </c>
    </row>
    <row r="4" spans="2:10">
      <c r="B4" s="41" t="s">
        <v>39</v>
      </c>
      <c r="C4" s="43">
        <f>'Assumptions Dashboard'!C49</f>
        <v>4.7500000000000001E-2</v>
      </c>
    </row>
    <row r="5" spans="2:10">
      <c r="B5" s="41" t="s">
        <v>94</v>
      </c>
      <c r="C5" s="42">
        <f>C3/C4</f>
        <v>26866800.529225111</v>
      </c>
    </row>
    <row r="6" spans="2:10">
      <c r="B6" s="41" t="s">
        <v>95</v>
      </c>
      <c r="C6" s="44">
        <f>'Assumptions Dashboard'!C50</f>
        <v>0.02</v>
      </c>
    </row>
    <row r="7" spans="2:10">
      <c r="B7" s="41" t="s">
        <v>96</v>
      </c>
      <c r="C7" s="45">
        <f>C5*(1-C6)</f>
        <v>26329464.518640608</v>
      </c>
    </row>
    <row r="8" spans="2:10">
      <c r="B8" s="41" t="s">
        <v>97</v>
      </c>
      <c r="C8" s="42">
        <f>'Debt Schedule '!F13</f>
        <v>16692189.071139708</v>
      </c>
    </row>
    <row r="9" spans="2:10">
      <c r="B9" s="41" t="s">
        <v>98</v>
      </c>
      <c r="C9" s="42">
        <f>C7-C8</f>
        <v>9637275.4475008994</v>
      </c>
    </row>
    <row r="12" spans="2:10">
      <c r="C12" s="8"/>
      <c r="D12" s="8"/>
      <c r="E12" s="8"/>
      <c r="F12" s="8"/>
      <c r="G12" s="8"/>
      <c r="H12" s="8"/>
      <c r="I12" s="8"/>
      <c r="J12" s="8"/>
    </row>
    <row r="13" spans="2:10">
      <c r="B13" s="36" t="s">
        <v>99</v>
      </c>
      <c r="C13" s="37">
        <v>2026</v>
      </c>
      <c r="D13" s="37">
        <v>2027</v>
      </c>
      <c r="E13" s="37">
        <v>2028</v>
      </c>
      <c r="F13" s="37">
        <v>2029</v>
      </c>
      <c r="G13" s="37">
        <v>2030</v>
      </c>
      <c r="H13" s="37">
        <v>2031</v>
      </c>
      <c r="I13" s="37">
        <v>2032</v>
      </c>
      <c r="J13" s="37">
        <v>2033</v>
      </c>
    </row>
    <row r="14" spans="2:10">
      <c r="B14" s="33" t="s">
        <v>100</v>
      </c>
      <c r="C14" s="32">
        <f>-'Development Budget'!D6</f>
        <v>-9066176.470588237</v>
      </c>
      <c r="D14" s="32">
        <f>-'Development Budget'!E6</f>
        <v>-4700980.3921568627</v>
      </c>
      <c r="E14" s="32">
        <f>-'Development Budget'!F6</f>
        <v>-9401960.7843137253</v>
      </c>
      <c r="F14" s="33"/>
      <c r="G14" s="33"/>
      <c r="H14" s="33"/>
      <c r="I14" s="33"/>
      <c r="J14" s="33"/>
    </row>
    <row r="15" spans="2:10">
      <c r="B15" s="33" t="s">
        <v>77</v>
      </c>
      <c r="C15" s="33"/>
      <c r="D15" s="33"/>
      <c r="E15" s="33"/>
      <c r="F15" s="31">
        <f>'Pro Forma'!B17</f>
        <v>1156149.7749999999</v>
      </c>
      <c r="G15" s="31">
        <f>'Pro Forma'!C17</f>
        <v>1185053.5193749999</v>
      </c>
      <c r="H15" s="31">
        <f>'Pro Forma'!D17</f>
        <v>1214679.8573593746</v>
      </c>
      <c r="I15" s="31">
        <f>'Pro Forma'!E17</f>
        <v>1245046.8537933589</v>
      </c>
      <c r="J15" s="31">
        <f>'Pro Forma'!F17</f>
        <v>1276173.0251381928</v>
      </c>
    </row>
    <row r="16" spans="2:10">
      <c r="B16" s="33" t="s">
        <v>101</v>
      </c>
      <c r="C16" s="33"/>
      <c r="D16" s="33"/>
      <c r="E16" s="33"/>
      <c r="F16" s="33"/>
      <c r="G16" s="33"/>
      <c r="H16" s="33"/>
      <c r="I16" s="33"/>
      <c r="J16" s="34">
        <f>C7</f>
        <v>26329464.518640608</v>
      </c>
    </row>
    <row r="17" spans="2:11">
      <c r="B17" s="33" t="s">
        <v>99</v>
      </c>
      <c r="C17" s="32">
        <f>SUM(C14:C16)</f>
        <v>-9066176.470588237</v>
      </c>
      <c r="D17" s="32">
        <f t="shared" ref="D17:J17" si="0">SUM(D14:D16)</f>
        <v>-4700980.3921568627</v>
      </c>
      <c r="E17" s="32">
        <f t="shared" si="0"/>
        <v>-9401960.7843137253</v>
      </c>
      <c r="F17" s="32">
        <f t="shared" si="0"/>
        <v>1156149.7749999999</v>
      </c>
      <c r="G17" s="32">
        <f t="shared" si="0"/>
        <v>1185053.5193749999</v>
      </c>
      <c r="H17" s="32">
        <f t="shared" si="0"/>
        <v>1214679.8573593746</v>
      </c>
      <c r="I17" s="32">
        <f t="shared" si="0"/>
        <v>1245046.8537933589</v>
      </c>
      <c r="J17" s="32">
        <f t="shared" si="0"/>
        <v>27605637.543778799</v>
      </c>
    </row>
    <row r="22" spans="2:11">
      <c r="B22" s="36" t="s">
        <v>102</v>
      </c>
      <c r="C22" s="37">
        <v>2026</v>
      </c>
      <c r="D22" s="37">
        <v>2027</v>
      </c>
      <c r="E22" s="37">
        <v>2028</v>
      </c>
      <c r="F22" s="37">
        <v>2029</v>
      </c>
      <c r="G22" s="37">
        <v>2030</v>
      </c>
      <c r="H22" s="37">
        <v>2031</v>
      </c>
      <c r="I22" s="37">
        <v>2032</v>
      </c>
      <c r="J22" s="37">
        <v>2033</v>
      </c>
    </row>
    <row r="23" spans="2:11">
      <c r="B23" s="33" t="s">
        <v>103</v>
      </c>
      <c r="C23" s="31">
        <f>-'Development Budget'!D30</f>
        <v>-3173161.7647058829</v>
      </c>
      <c r="D23" s="31">
        <f>-'Development Budget'!E30</f>
        <v>-1645343.1372549019</v>
      </c>
      <c r="E23" s="31">
        <f>-'Development Budget'!F30</f>
        <v>-3290686.2745098039</v>
      </c>
      <c r="F23" s="33"/>
      <c r="G23" s="33"/>
      <c r="H23" s="33"/>
      <c r="I23" s="33"/>
      <c r="J23" s="33"/>
    </row>
    <row r="24" spans="2:11">
      <c r="B24" s="33" t="s">
        <v>104</v>
      </c>
      <c r="C24" s="33"/>
      <c r="D24" s="33"/>
      <c r="E24" s="33"/>
      <c r="F24" s="31">
        <f>'Pro Forma'!B24</f>
        <v>-12303.459979779785</v>
      </c>
      <c r="G24" s="31">
        <f>'Pro Forma'!C24</f>
        <v>16600.284395220224</v>
      </c>
      <c r="H24" s="31">
        <f>'Pro Forma'!D24</f>
        <v>46226.622379594948</v>
      </c>
      <c r="I24" s="31">
        <f>'Pro Forma'!E24</f>
        <v>76593.618813579204</v>
      </c>
      <c r="J24" s="31">
        <f>'Pro Forma'!F17</f>
        <v>1276173.0251381928</v>
      </c>
    </row>
    <row r="25" spans="2:11">
      <c r="B25" s="33" t="s">
        <v>98</v>
      </c>
      <c r="C25" s="33"/>
      <c r="D25" s="33"/>
      <c r="E25" s="33"/>
      <c r="F25" s="33"/>
      <c r="G25" s="33"/>
      <c r="H25" s="33"/>
      <c r="I25" s="33"/>
      <c r="J25" s="34">
        <f>C9</f>
        <v>9637275.4475008994</v>
      </c>
    </row>
    <row r="26" spans="2:11">
      <c r="B26" s="33" t="s">
        <v>102</v>
      </c>
      <c r="C26" s="31">
        <f>SUM(C23:C25)</f>
        <v>-3173161.7647058829</v>
      </c>
      <c r="D26" s="31">
        <f t="shared" ref="D26:J26" si="1">SUM(D23:D25)</f>
        <v>-1645343.1372549019</v>
      </c>
      <c r="E26" s="31">
        <f t="shared" si="1"/>
        <v>-3290686.2745098039</v>
      </c>
      <c r="F26" s="31">
        <f t="shared" si="1"/>
        <v>-12303.459979779785</v>
      </c>
      <c r="G26" s="31">
        <f t="shared" si="1"/>
        <v>16600.284395220224</v>
      </c>
      <c r="H26" s="31">
        <f t="shared" si="1"/>
        <v>46226.622379594948</v>
      </c>
      <c r="I26" s="31">
        <f t="shared" si="1"/>
        <v>76593.618813579204</v>
      </c>
      <c r="J26" s="31">
        <f>SUM(J23:J25)</f>
        <v>10913448.472639091</v>
      </c>
    </row>
    <row r="29" spans="2:11">
      <c r="B29" s="46" t="s">
        <v>105</v>
      </c>
      <c r="C29" s="47">
        <v>46387</v>
      </c>
      <c r="D29" s="47">
        <v>46752</v>
      </c>
      <c r="E29" s="47">
        <v>47118</v>
      </c>
      <c r="F29" s="47">
        <v>47483</v>
      </c>
      <c r="G29" s="47">
        <v>47848</v>
      </c>
      <c r="H29" s="47">
        <v>48213</v>
      </c>
      <c r="I29" s="47">
        <v>48579</v>
      </c>
      <c r="J29" s="47">
        <v>48944</v>
      </c>
    </row>
    <row r="32" spans="2:11">
      <c r="K32" s="38"/>
    </row>
    <row r="33" spans="2:11">
      <c r="D33" s="38"/>
      <c r="E33" s="38"/>
      <c r="F33" s="38"/>
      <c r="G33" s="38"/>
      <c r="H33" s="38"/>
      <c r="I33" s="38"/>
      <c r="J33" s="38"/>
      <c r="K33" s="38"/>
    </row>
    <row r="34" spans="2:11">
      <c r="B34" s="36" t="s">
        <v>106</v>
      </c>
      <c r="C34" s="40"/>
      <c r="D34" s="38"/>
      <c r="E34" s="38"/>
      <c r="F34" s="38"/>
      <c r="G34" s="38"/>
      <c r="H34" s="38"/>
      <c r="I34" s="38"/>
      <c r="J34" s="38"/>
      <c r="K34" s="38"/>
    </row>
    <row r="35" spans="2:11">
      <c r="B35" s="33" t="s">
        <v>107</v>
      </c>
      <c r="C35" s="48">
        <f>XIRR(C17:J17,C29:J29)</f>
        <v>6.1550804972648629E-2</v>
      </c>
    </row>
    <row r="36" spans="2:11">
      <c r="B36" s="33" t="s">
        <v>108</v>
      </c>
      <c r="C36" s="48">
        <f>XIRR(C26:J26,C29:J29)</f>
        <v>5.2824214100837721E-2</v>
      </c>
    </row>
    <row r="37" spans="2:11">
      <c r="B37" s="33" t="s">
        <v>109</v>
      </c>
      <c r="C37" s="49">
        <f>SUM(F26:J26)/ABS(SUM(C26:E26))</f>
        <v>1.3614878843012994</v>
      </c>
    </row>
    <row r="38" spans="2:11">
      <c r="B38" s="33" t="s">
        <v>110</v>
      </c>
      <c r="C38" s="48">
        <f>('Pro Forma'!B17/'Development Budget'!C19)</f>
        <v>4.9900466328149783E-2</v>
      </c>
    </row>
    <row r="39" spans="2:11">
      <c r="B39" s="33" t="s">
        <v>111</v>
      </c>
      <c r="C39" s="48">
        <f>AVERAGE(F26:I26)/ABS(SUM(C26:E26))</f>
        <v>3.9189193731630732E-3</v>
      </c>
    </row>
    <row r="40" spans="2:11">
      <c r="B40" s="38"/>
      <c r="C40" s="38"/>
      <c r="D40" s="38"/>
    </row>
    <row r="41" spans="2:11">
      <c r="B41" s="38"/>
      <c r="C41" s="38"/>
      <c r="D41" s="3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B29E6-1005-4680-9EB6-693825532BFC}">
  <dimension ref="B1:K7"/>
  <sheetViews>
    <sheetView showGridLines="0" tabSelected="1" workbookViewId="0">
      <selection activeCell="B3" sqref="B3"/>
    </sheetView>
  </sheetViews>
  <sheetFormatPr defaultRowHeight="15.75"/>
  <cols>
    <col min="1" max="1" width="12" style="4" customWidth="1"/>
    <col min="2" max="2" width="11.5703125" style="4" customWidth="1"/>
    <col min="3" max="7" width="11.28515625" style="4" customWidth="1"/>
    <col min="8" max="16384" width="9.140625" style="4"/>
  </cols>
  <sheetData>
    <row r="1" spans="2:11">
      <c r="C1" s="53" t="s">
        <v>112</v>
      </c>
    </row>
    <row r="2" spans="2:11">
      <c r="B2" s="58">
        <f>' Returns'!C35</f>
        <v>6.1550804972648629E-2</v>
      </c>
      <c r="C2" s="50">
        <v>4.2500000000000003E-2</v>
      </c>
      <c r="D2" s="55">
        <v>4.4999999999999998E-2</v>
      </c>
      <c r="E2" s="55">
        <v>4.7500000000000001E-2</v>
      </c>
      <c r="F2" s="55">
        <v>0.05</v>
      </c>
      <c r="G2" s="55">
        <v>5.2499999999999998E-2</v>
      </c>
      <c r="K2" s="15"/>
    </row>
    <row r="3" spans="2:11">
      <c r="B3" s="56" t="s">
        <v>113</v>
      </c>
      <c r="C3" s="52"/>
      <c r="D3" s="52"/>
      <c r="E3" s="52"/>
      <c r="F3" s="52"/>
      <c r="G3" s="52"/>
    </row>
    <row r="4" spans="2:11">
      <c r="B4" s="51" t="s">
        <v>114</v>
      </c>
      <c r="C4" s="54"/>
      <c r="D4" s="54"/>
      <c r="E4" s="54"/>
      <c r="F4" s="54"/>
      <c r="G4" s="54"/>
    </row>
    <row r="5" spans="2:11">
      <c r="B5" s="56" t="s">
        <v>115</v>
      </c>
      <c r="C5" s="52"/>
      <c r="D5" s="52"/>
      <c r="E5" s="57">
        <f>' Returns'!C35</f>
        <v>6.1550804972648629E-2</v>
      </c>
      <c r="F5" s="52"/>
      <c r="G5" s="52"/>
    </row>
    <row r="6" spans="2:11">
      <c r="B6" s="51" t="s">
        <v>116</v>
      </c>
      <c r="C6" s="54"/>
      <c r="D6" s="54"/>
      <c r="E6" s="54"/>
      <c r="F6" s="54"/>
      <c r="G6" s="54"/>
    </row>
    <row r="7" spans="2:11">
      <c r="B7" s="52" t="s">
        <v>117</v>
      </c>
      <c r="C7" s="52"/>
      <c r="D7" s="52"/>
      <c r="E7" s="52"/>
      <c r="F7" s="52"/>
      <c r="G7" s="5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2026-03-09T00:15:47Z</dcterms:created>
  <dcterms:modified xsi:type="dcterms:W3CDTF">2026-03-19T21:39:57Z</dcterms:modified>
  <cp:category/>
  <cp:contentStatus/>
</cp:coreProperties>
</file>